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\Documents\"/>
    </mc:Choice>
  </mc:AlternateContent>
  <xr:revisionPtr revIDLastSave="0" documentId="13_ncr:1_{997A11E5-F3E2-4F39-A915-A6017AE8E0B0}" xr6:coauthVersionLast="47" xr6:coauthVersionMax="47" xr10:uidLastSave="{00000000-0000-0000-0000-000000000000}"/>
  <bookViews>
    <workbookView xWindow="-120" yWindow="-120" windowWidth="20730" windowHeight="11160" activeTab="1" xr2:uid="{B2A162CB-86A0-46E8-8D0D-062C93BA8B77}"/>
  </bookViews>
  <sheets>
    <sheet name="Sheet3" sheetId="3" r:id="rId1"/>
    <sheet name="Sheet1" sheetId="1" r:id="rId2"/>
  </sheets>
  <definedNames>
    <definedName name="_xlnm._FilterDatabase" localSheetId="1" hidden="1">Sheet1!$A$1:$K$14</definedName>
  </definedNam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L3" i="1"/>
  <c r="L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" i="1"/>
</calcChain>
</file>

<file path=xl/sharedStrings.xml><?xml version="1.0" encoding="utf-8"?>
<sst xmlns="http://schemas.openxmlformats.org/spreadsheetml/2006/main" count="134" uniqueCount="73">
  <si>
    <t>order_id</t>
  </si>
  <si>
    <t>order_date</t>
  </si>
  <si>
    <t>ship_date</t>
  </si>
  <si>
    <t>ship_mode</t>
  </si>
  <si>
    <t>customer_id</t>
  </si>
  <si>
    <t>region</t>
  </si>
  <si>
    <t>product_id</t>
  </si>
  <si>
    <t>category</t>
  </si>
  <si>
    <t>sales</t>
  </si>
  <si>
    <t>quantity</t>
  </si>
  <si>
    <t>profit</t>
  </si>
  <si>
    <t>Second Class</t>
  </si>
  <si>
    <t>South</t>
  </si>
  <si>
    <t>Furniture</t>
  </si>
  <si>
    <t>West</t>
  </si>
  <si>
    <t>Office Supplies</t>
  </si>
  <si>
    <t>Standard Class</t>
  </si>
  <si>
    <t>Technology</t>
  </si>
  <si>
    <t>OID101</t>
  </si>
  <si>
    <t>OID102</t>
  </si>
  <si>
    <t>OID103</t>
  </si>
  <si>
    <t>OID104</t>
  </si>
  <si>
    <t>OID105</t>
  </si>
  <si>
    <t>OID106</t>
  </si>
  <si>
    <t>OID107</t>
  </si>
  <si>
    <t>OID108</t>
  </si>
  <si>
    <t>OID109</t>
  </si>
  <si>
    <t>OID110</t>
  </si>
  <si>
    <t>CID1</t>
  </si>
  <si>
    <t>CID2</t>
  </si>
  <si>
    <t>CID4</t>
  </si>
  <si>
    <t>CID5</t>
  </si>
  <si>
    <t>CID6</t>
  </si>
  <si>
    <t>CID7</t>
  </si>
  <si>
    <t>CID9</t>
  </si>
  <si>
    <t>PID1</t>
  </si>
  <si>
    <t>PID2</t>
  </si>
  <si>
    <t>PID3</t>
  </si>
  <si>
    <t>PID4</t>
  </si>
  <si>
    <t>PID6</t>
  </si>
  <si>
    <t>PID7</t>
  </si>
  <si>
    <t>PID8</t>
  </si>
  <si>
    <t>PID9</t>
  </si>
  <si>
    <t>Row Labels</t>
  </si>
  <si>
    <t>Grand Total</t>
  </si>
  <si>
    <t>Sum of sales</t>
  </si>
  <si>
    <t>09-06-2018</t>
  </si>
  <si>
    <t>14-06-2018</t>
  </si>
  <si>
    <t>15-04-2021</t>
  </si>
  <si>
    <t>20-04-2021</t>
  </si>
  <si>
    <t>05-12-2020</t>
  </si>
  <si>
    <t>10-12-2020</t>
  </si>
  <si>
    <t>22-11-2019</t>
  </si>
  <si>
    <t>26-11-2019</t>
  </si>
  <si>
    <t>Central</t>
  </si>
  <si>
    <t>OID100</t>
  </si>
  <si>
    <t>OID96</t>
  </si>
  <si>
    <t>OID92</t>
  </si>
  <si>
    <t>OID88</t>
  </si>
  <si>
    <t>OID84</t>
  </si>
  <si>
    <t>OID80</t>
  </si>
  <si>
    <t>OID76</t>
  </si>
  <si>
    <t>CID3</t>
  </si>
  <si>
    <t>CID8</t>
  </si>
  <si>
    <t>PID12</t>
  </si>
  <si>
    <t>PID16</t>
  </si>
  <si>
    <t>PID20</t>
  </si>
  <si>
    <t>PID24</t>
  </si>
  <si>
    <t>CID10</t>
  </si>
  <si>
    <t>CID11</t>
  </si>
  <si>
    <t>CID12</t>
  </si>
  <si>
    <t>CID13</t>
  </si>
  <si>
    <t>profit_flag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</si>
</sst>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[EORDERS.xlsx]Sheet3!PivotTable2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chemeClr val="tx1">
                <a:alpha val="63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chemeClr val="tx1">
                <a:alpha val="63000"/>
              </a:schemeClr>
            </a:outerShdw>
          </a:effectLst>
        </c:spPr>
        <c:dLbl>
          <c:idx val="0"/>
          <c:layout>
            <c:manualLayout>
              <c:x val="6.6666666666666666E-2"/>
              <c:y val="-1.38888888888889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chemeClr val="tx1">
                <a:alpha val="63000"/>
              </a:schemeClr>
            </a:outerShdw>
          </a:effectLst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chemeClr val="tx1">
                <a:alpha val="63000"/>
              </a:scheme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chemeClr val="tx1">
                  <a:alpha val="63000"/>
                </a:schemeClr>
              </a:outerShdw>
            </a:effectLst>
          </c:spPr>
          <c:explosion val="2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chemeClr val="tx1">
                    <a:alpha val="6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CAA-4C91-9A53-99BBCF7872E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chemeClr val="tx1">
                    <a:alpha val="6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D5-4C91-B78C-462A5A77406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chemeClr val="tx1">
                    <a:alpha val="6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D5-4C91-B78C-462A5A77406B}"/>
              </c:ext>
            </c:extLst>
          </c:dPt>
          <c:dLbls>
            <c:dLbl>
              <c:idx val="0"/>
              <c:layout>
                <c:manualLayout>
                  <c:x val="6.6666666666666666E-2"/>
                  <c:y val="-1.388888888888893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CAA-4C91-9A53-99BBCF787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Sheet3!$A$4:$A$7</c:f>
              <c:strCache>
                <c:ptCount val="3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71.3</c:v>
                </c:pt>
                <c:pt idx="1">
                  <c:v>1989.5</c:v>
                </c:pt>
                <c:pt idx="2">
                  <c:v>4251.8999999999996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A-4C91-9A53-99BBCF787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45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33337</xdr:rowOff>
    </xdr:from>
    <xdr:to>
      <xdr:col>10</xdr:col>
      <xdr:colOff>485775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1730E-DB0D-7593-2A98-EDD448888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" refreshedDate="45925.962501041664" createdVersion="8" refreshedVersion="8" minRefreshableVersion="3" recordCount="17" xr:uid="{21B10891-CE45-4134-A265-6BA3ADE62D26}">
  <cacheSource type="worksheet">
    <worksheetSource ref="A1:K18" sheet="Sheet1"/>
  </cacheSource>
  <cacheFields count="11">
    <cacheField name="order_id" numFmtId="0">
      <sharedItems/>
    </cacheField>
    <cacheField name="order_date" numFmtId="0">
      <sharedItems containsDate="1" containsMixedTypes="1" minDate="2018-06-09T00:00:00" maxDate="2020-11-09T00:00:00"/>
    </cacheField>
    <cacheField name="ship_date" numFmtId="0">
      <sharedItems containsDate="1" containsMixedTypes="1" minDate="2018-06-14T00:00:00" maxDate="2020-11-12T00:00:00"/>
    </cacheField>
    <cacheField name="ship_mode" numFmtId="0">
      <sharedItems/>
    </cacheField>
    <cacheField name="customer_id" numFmtId="0">
      <sharedItems/>
    </cacheField>
    <cacheField name="region" numFmtId="0">
      <sharedItems count="3">
        <s v="West"/>
        <s v="South"/>
        <s v="Central"/>
      </sharedItems>
    </cacheField>
    <cacheField name="product_id" numFmtId="0">
      <sharedItems/>
    </cacheField>
    <cacheField name="category" numFmtId="0">
      <sharedItems/>
    </cacheField>
    <cacheField name="sales" numFmtId="0">
      <sharedItems containsSemiMixedTypes="0" containsString="0" containsNumber="1" minValue="2.5" maxValue="1706.2"/>
    </cacheField>
    <cacheField name="quantity" numFmtId="0">
      <sharedItems containsSemiMixedTypes="0" containsString="0" containsNumber="1" containsInteger="1" minValue="2" maxValue="9"/>
    </cacheField>
    <cacheField name="profit" numFmtId="0">
      <sharedItems containsSemiMixedTypes="0" containsString="0" containsNumber="1" minValue="-383" maxValue="219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OID107"/>
    <d v="2018-06-09T00:00:00"/>
    <d v="2018-06-14T00:00:00"/>
    <s v="Standard Class"/>
    <s v="CID7"/>
    <x v="0"/>
    <s v="PID7"/>
    <s v="Office Supplies"/>
    <n v="7.3"/>
    <n v="4"/>
    <n v="2"/>
  </r>
  <r>
    <s v="OID103"/>
    <d v="2020-06-12T00:00:00"/>
    <d v="2020-06-16T00:00:00"/>
    <s v="Second Class"/>
    <s v="CID2"/>
    <x v="0"/>
    <s v="PID3"/>
    <s v="Office Supplies"/>
    <n v="14.6"/>
    <n v="2"/>
    <n v="6.9"/>
  </r>
  <r>
    <s v="OID109"/>
    <d v="2018-06-09T00:00:00"/>
    <d v="2018-06-14T00:00:00"/>
    <s v="Standard Class"/>
    <s v="CID9"/>
    <x v="0"/>
    <s v="PID9"/>
    <s v="Office Supplies"/>
    <n v="18.5"/>
    <n v="3"/>
    <n v="5.8"/>
  </r>
  <r>
    <s v="OID105"/>
    <d v="2019-10-11T00:00:00"/>
    <d v="2019-10-18T00:00:00"/>
    <s v="Standard Class"/>
    <s v="CID5"/>
    <x v="1"/>
    <s v="PID3"/>
    <s v="Office Supplies"/>
    <n v="22.4"/>
    <n v="2"/>
    <n v="2.5"/>
  </r>
  <r>
    <s v="OID106"/>
    <d v="2018-06-09T00:00:00"/>
    <d v="2018-06-14T00:00:00"/>
    <s v="Standard Class"/>
    <s v="CID6"/>
    <x v="0"/>
    <s v="PID6"/>
    <s v="Furniture"/>
    <n v="48.9"/>
    <n v="7"/>
    <n v="14.2"/>
  </r>
  <r>
    <s v="OID110"/>
    <d v="2018-06-09T00:00:00"/>
    <d v="2018-06-14T00:00:00"/>
    <s v="Standard Class"/>
    <s v="CID1"/>
    <x v="0"/>
    <s v="PID9"/>
    <s v="Office Supplies"/>
    <n v="114.9"/>
    <n v="5"/>
    <n v="34.5"/>
  </r>
  <r>
    <s v="OID101"/>
    <d v="2020-11-08T00:00:00"/>
    <d v="2020-11-11T00:00:00"/>
    <s v="Second Class"/>
    <s v="CID1"/>
    <x v="1"/>
    <s v="PID1"/>
    <s v="Furniture"/>
    <n v="262"/>
    <n v="2"/>
    <n v="41.9"/>
  </r>
  <r>
    <s v="OID102"/>
    <d v="2020-11-08T00:00:00"/>
    <d v="2020-11-11T00:00:00"/>
    <s v="Second Class"/>
    <s v="CID2"/>
    <x v="1"/>
    <s v="PID2"/>
    <s v="Furniture"/>
    <n v="731.9"/>
    <n v="3"/>
    <n v="219.6"/>
  </r>
  <r>
    <s v="OID108"/>
    <d v="2018-06-09T00:00:00"/>
    <d v="2018-06-14T00:00:00"/>
    <s v="Standard Class"/>
    <s v="CID5"/>
    <x v="0"/>
    <s v="PID8"/>
    <s v="Technology"/>
    <n v="907.2"/>
    <n v="6"/>
    <n v="90.7"/>
  </r>
  <r>
    <s v="OID104"/>
    <d v="2019-10-11T00:00:00"/>
    <d v="2019-10-18T00:00:00"/>
    <s v="Standard Class"/>
    <s v="CID4"/>
    <x v="1"/>
    <s v="PID4"/>
    <s v="Furniture"/>
    <n v="957.6"/>
    <n v="5"/>
    <n v="-383"/>
  </r>
  <r>
    <s v="OID100"/>
    <s v="09-06-2018"/>
    <s v="14-06-2018"/>
    <s v="Standard Class"/>
    <s v="CID3"/>
    <x v="0"/>
    <s v="PID1"/>
    <s v="Office Supplies"/>
    <n v="114.9"/>
    <n v="5"/>
    <n v="34.5"/>
  </r>
  <r>
    <s v="OID96"/>
    <s v="09-06-2018"/>
    <s v="14-06-2018"/>
    <s v="Standard Class"/>
    <s v="CID2"/>
    <x v="0"/>
    <s v="PID4"/>
    <s v="Furniture"/>
    <n v="1706.2"/>
    <n v="9"/>
    <n v="85.3"/>
  </r>
  <r>
    <s v="OID92"/>
    <s v="09-06-2018"/>
    <s v="14-06-2018"/>
    <s v="Standard Class"/>
    <s v="CID6"/>
    <x v="0"/>
    <s v="PID8"/>
    <s v="Technology"/>
    <n v="911.4"/>
    <n v="4"/>
    <n v="68.400000000000006"/>
  </r>
  <r>
    <s v="OID88"/>
    <s v="15-04-2021"/>
    <s v="20-04-2021"/>
    <s v="Standard Class"/>
    <s v="CID7"/>
    <x v="1"/>
    <s v="PID12"/>
    <s v="Office Supplies"/>
    <n v="15.6"/>
    <n v="3"/>
    <n v="5.4"/>
  </r>
  <r>
    <s v="OID84"/>
    <s v="05-12-2020"/>
    <s v="10-12-2020"/>
    <s v="Standard Class"/>
    <s v="CID8"/>
    <x v="0"/>
    <s v="PID16"/>
    <s v="Office Supplies"/>
    <n v="408"/>
    <n v="3"/>
    <n v="132.6"/>
  </r>
  <r>
    <s v="OID80"/>
    <s v="22-11-2019"/>
    <s v="26-11-2019"/>
    <s v="Standard Class"/>
    <s v="CID2"/>
    <x v="2"/>
    <s v="PID20"/>
    <s v="Office Supplies"/>
    <n v="68.8"/>
    <n v="5"/>
    <n v="-123.9"/>
  </r>
  <r>
    <s v="OID76"/>
    <s v="22-11-2019"/>
    <s v="26-11-2019"/>
    <s v="Standard Class"/>
    <s v="CID3"/>
    <x v="2"/>
    <s v="PID24"/>
    <s v="Office Supplies"/>
    <n v="2.5"/>
    <n v="3"/>
    <n v="-3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29EA8-83FB-4B56-903C-007DCD6F9D2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7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chartFormats count="6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634F-CDB4-413B-8CAC-36C74F2881B5}">
  <dimension ref="A3:B7"/>
  <sheetViews>
    <sheetView workbookViewId="0">
      <selection activeCell="E21" sqref="E21"/>
    </sheetView>
  </sheetViews>
  <sheetFormatPr defaultRowHeight="15" x14ac:dyDescent="0.25"/>
  <cols>
    <col min="1" max="1" width="13.140625" bestFit="1" customWidth="1"/>
    <col min="2" max="2" width="12" bestFit="1" customWidth="1"/>
    <col min="3" max="4" width="7" bestFit="1" customWidth="1"/>
    <col min="5" max="5" width="11.28515625" bestFit="1" customWidth="1"/>
  </cols>
  <sheetData>
    <row r="3" spans="1:2" x14ac:dyDescent="0.25">
      <c r="A3" s="9" t="s">
        <v>43</v>
      </c>
      <c r="B3" t="s">
        <v>45</v>
      </c>
    </row>
    <row r="4" spans="1:2" x14ac:dyDescent="0.25">
      <c r="A4" s="10" t="s">
        <v>54</v>
      </c>
      <c r="B4">
        <v>71.3</v>
      </c>
    </row>
    <row r="5" spans="1:2" x14ac:dyDescent="0.25">
      <c r="A5" s="10" t="s">
        <v>12</v>
      </c>
      <c r="B5">
        <v>1989.5</v>
      </c>
    </row>
    <row r="6" spans="1:2" x14ac:dyDescent="0.25">
      <c r="A6" s="10" t="s">
        <v>14</v>
      </c>
      <c r="B6">
        <v>4251.8999999999996</v>
      </c>
    </row>
    <row r="7" spans="1:2" x14ac:dyDescent="0.25">
      <c r="A7" s="10" t="s">
        <v>44</v>
      </c>
      <c r="B7">
        <v>6312.7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DB6D-9B27-46A3-9F15-7F2E3ED185A9}">
  <dimension ref="A1:P18"/>
  <sheetViews>
    <sheetView tabSelected="1" workbookViewId="0">
      <selection activeCell="O15" sqref="O15"/>
    </sheetView>
  </sheetViews>
  <sheetFormatPr defaultRowHeight="21.95" customHeight="1" x14ac:dyDescent="0.25"/>
  <cols>
    <col min="1" max="1" width="8.5703125" style="5" bestFit="1" customWidth="1"/>
    <col min="2" max="2" width="10.85546875" style="6" bestFit="1" customWidth="1"/>
    <col min="3" max="3" width="10.42578125" style="6" bestFit="1" customWidth="1"/>
    <col min="4" max="4" width="13.85546875" style="5" bestFit="1" customWidth="1"/>
    <col min="5" max="5" width="12" style="5" bestFit="1" customWidth="1"/>
    <col min="6" max="6" width="6.7109375" style="5" bestFit="1" customWidth="1"/>
    <col min="7" max="7" width="16.5703125" style="5" bestFit="1" customWidth="1"/>
    <col min="8" max="8" width="14.5703125" style="5" bestFit="1" customWidth="1"/>
    <col min="9" max="9" width="8.42578125" style="7" bestFit="1" customWidth="1"/>
    <col min="10" max="10" width="8.42578125" style="8" bestFit="1" customWidth="1"/>
    <col min="11" max="11" width="7.28515625" style="7" bestFit="1" customWidth="1"/>
    <col min="12" max="12" width="13.85546875" style="5" customWidth="1"/>
    <col min="13" max="13" width="16.28515625" style="5" customWidth="1"/>
    <col min="14" max="14" width="9.140625" style="5"/>
    <col min="15" max="16" width="10.42578125" style="5" bestFit="1" customWidth="1"/>
    <col min="17" max="16384" width="9.140625" style="5"/>
  </cols>
  <sheetData>
    <row r="1" spans="1:16" s="1" customFormat="1" ht="21.9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3" t="s">
        <v>10</v>
      </c>
      <c r="L1" s="1" t="s">
        <v>72</v>
      </c>
    </row>
    <row r="2" spans="1:16" ht="21.95" customHeight="1" x14ac:dyDescent="0.25">
      <c r="A2" s="5" t="s">
        <v>24</v>
      </c>
      <c r="B2" s="6">
        <v>43260</v>
      </c>
      <c r="C2" s="6">
        <v>43265</v>
      </c>
      <c r="D2" s="5" t="s">
        <v>16</v>
      </c>
      <c r="E2" s="5" t="s">
        <v>33</v>
      </c>
      <c r="F2" s="5" t="s">
        <v>14</v>
      </c>
      <c r="G2" s="5" t="s">
        <v>40</v>
      </c>
      <c r="H2" s="5" t="s">
        <v>15</v>
      </c>
      <c r="I2" s="7">
        <v>7.3</v>
      </c>
      <c r="J2" s="8">
        <v>4</v>
      </c>
      <c r="K2" s="7">
        <v>2</v>
      </c>
      <c r="L2" s="5" t="str">
        <f>IF(K2&gt;0, "Profitable", IF(K2&lt;0, "Loss", "Break Even"))</f>
        <v>Profitable</v>
      </c>
      <c r="O2" s="1"/>
    </row>
    <row r="3" spans="1:16" ht="21.95" customHeight="1" x14ac:dyDescent="0.25">
      <c r="A3" s="5" t="s">
        <v>20</v>
      </c>
      <c r="B3" s="6">
        <v>43994</v>
      </c>
      <c r="C3" s="6">
        <v>43998</v>
      </c>
      <c r="D3" s="5" t="s">
        <v>11</v>
      </c>
      <c r="E3" s="5" t="s">
        <v>29</v>
      </c>
      <c r="F3" s="5" t="s">
        <v>14</v>
      </c>
      <c r="G3" s="5" t="s">
        <v>37</v>
      </c>
      <c r="H3" s="5" t="s">
        <v>15</v>
      </c>
      <c r="I3" s="7">
        <v>14.6</v>
      </c>
      <c r="J3" s="8">
        <v>2</v>
      </c>
      <c r="K3" s="7">
        <v>6.9</v>
      </c>
      <c r="L3" s="5" t="str">
        <f>IF(K3&gt;0, "Profitable", IF(K3&lt;0, "Loss", "Break Eve"))</f>
        <v>Profitable</v>
      </c>
      <c r="O3" s="2"/>
      <c r="P3" s="6"/>
    </row>
    <row r="4" spans="1:16" ht="21.95" customHeight="1" x14ac:dyDescent="0.25">
      <c r="A4" s="5" t="s">
        <v>26</v>
      </c>
      <c r="B4" s="6">
        <v>43260</v>
      </c>
      <c r="C4" s="6">
        <v>43265</v>
      </c>
      <c r="D4" s="5" t="s">
        <v>16</v>
      </c>
      <c r="E4" s="5" t="s">
        <v>34</v>
      </c>
      <c r="F4" s="5" t="s">
        <v>14</v>
      </c>
      <c r="G4" s="5" t="s">
        <v>42</v>
      </c>
      <c r="H4" s="5" t="s">
        <v>15</v>
      </c>
      <c r="I4" s="7">
        <v>18.5</v>
      </c>
      <c r="J4" s="8">
        <v>3</v>
      </c>
      <c r="K4" s="7">
        <v>5.8</v>
      </c>
      <c r="L4" s="5" t="str">
        <f t="shared" ref="L3:L18" si="0">IF(K4&gt;0, "Profitable", IF(K4&lt;0, "Loss", "Break Even"))</f>
        <v>Profitable</v>
      </c>
      <c r="O4" s="2"/>
      <c r="P4" s="6"/>
    </row>
    <row r="5" spans="1:16" ht="21.95" customHeight="1" x14ac:dyDescent="0.25">
      <c r="A5" s="5" t="s">
        <v>22</v>
      </c>
      <c r="B5" s="6">
        <v>43749</v>
      </c>
      <c r="C5" s="6">
        <v>43756</v>
      </c>
      <c r="D5" s="5" t="s">
        <v>16</v>
      </c>
      <c r="E5" s="5" t="s">
        <v>31</v>
      </c>
      <c r="F5" s="5" t="s">
        <v>12</v>
      </c>
      <c r="G5" s="5" t="s">
        <v>37</v>
      </c>
      <c r="H5" s="5" t="s">
        <v>15</v>
      </c>
      <c r="I5" s="7">
        <v>22.4</v>
      </c>
      <c r="J5" s="8">
        <v>2</v>
      </c>
      <c r="K5" s="7">
        <v>2.5</v>
      </c>
      <c r="L5" s="5" t="str">
        <f t="shared" si="0"/>
        <v>Profitable</v>
      </c>
    </row>
    <row r="6" spans="1:16" ht="21.95" customHeight="1" x14ac:dyDescent="0.25">
      <c r="A6" s="5" t="s">
        <v>23</v>
      </c>
      <c r="B6" s="6">
        <v>43260</v>
      </c>
      <c r="C6" s="6">
        <v>43265</v>
      </c>
      <c r="D6" s="5" t="s">
        <v>16</v>
      </c>
      <c r="E6" s="5" t="s">
        <v>32</v>
      </c>
      <c r="F6" s="5" t="s">
        <v>14</v>
      </c>
      <c r="G6" s="5" t="s">
        <v>39</v>
      </c>
      <c r="H6" s="5" t="s">
        <v>13</v>
      </c>
      <c r="I6" s="7">
        <v>48.9</v>
      </c>
      <c r="J6" s="8">
        <v>7</v>
      </c>
      <c r="K6" s="7">
        <v>14.2</v>
      </c>
      <c r="L6" s="5" t="str">
        <f t="shared" si="0"/>
        <v>Profitable</v>
      </c>
      <c r="O6" s="6"/>
    </row>
    <row r="7" spans="1:16" ht="21.95" customHeight="1" x14ac:dyDescent="0.25">
      <c r="A7" s="5" t="s">
        <v>27</v>
      </c>
      <c r="B7" s="6">
        <v>43260</v>
      </c>
      <c r="C7" s="6">
        <v>43265</v>
      </c>
      <c r="D7" s="5" t="s">
        <v>16</v>
      </c>
      <c r="E7" s="5" t="s">
        <v>28</v>
      </c>
      <c r="F7" s="5" t="s">
        <v>14</v>
      </c>
      <c r="G7" s="5" t="s">
        <v>42</v>
      </c>
      <c r="H7" s="5" t="s">
        <v>15</v>
      </c>
      <c r="I7" s="7">
        <v>114.9</v>
      </c>
      <c r="J7" s="8">
        <v>5</v>
      </c>
      <c r="K7" s="7">
        <v>34.5</v>
      </c>
      <c r="L7" s="5" t="str">
        <f t="shared" si="0"/>
        <v>Profitable</v>
      </c>
    </row>
    <row r="8" spans="1:16" ht="21.95" customHeight="1" x14ac:dyDescent="0.25">
      <c r="A8" s="5" t="s">
        <v>18</v>
      </c>
      <c r="B8" s="6">
        <v>44143</v>
      </c>
      <c r="C8" s="6">
        <v>44146</v>
      </c>
      <c r="D8" s="5" t="s">
        <v>11</v>
      </c>
      <c r="E8" s="5" t="s">
        <v>71</v>
      </c>
      <c r="F8" s="5" t="s">
        <v>12</v>
      </c>
      <c r="G8" s="5" t="s">
        <v>35</v>
      </c>
      <c r="H8" s="5" t="s">
        <v>13</v>
      </c>
      <c r="I8" s="7">
        <v>262</v>
      </c>
      <c r="J8" s="8">
        <v>2</v>
      </c>
      <c r="K8" s="7">
        <v>41.9</v>
      </c>
      <c r="L8" s="5" t="str">
        <f t="shared" si="0"/>
        <v>Profitable</v>
      </c>
      <c r="M8"/>
    </row>
    <row r="9" spans="1:16" ht="21.95" customHeight="1" x14ac:dyDescent="0.25">
      <c r="A9" s="5" t="s">
        <v>19</v>
      </c>
      <c r="B9" s="6">
        <v>44143</v>
      </c>
      <c r="C9" s="6">
        <v>44146</v>
      </c>
      <c r="D9" s="5" t="s">
        <v>11</v>
      </c>
      <c r="E9" s="5" t="s">
        <v>70</v>
      </c>
      <c r="F9" s="5" t="s">
        <v>12</v>
      </c>
      <c r="G9" s="5" t="s">
        <v>36</v>
      </c>
      <c r="H9" s="5" t="s">
        <v>13</v>
      </c>
      <c r="I9" s="7">
        <v>731.9</v>
      </c>
      <c r="J9" s="8">
        <v>3</v>
      </c>
      <c r="K9" s="7">
        <v>219.6</v>
      </c>
      <c r="L9" s="5" t="str">
        <f t="shared" si="0"/>
        <v>Profitable</v>
      </c>
      <c r="M9"/>
    </row>
    <row r="10" spans="1:16" ht="21.95" customHeight="1" x14ac:dyDescent="0.25">
      <c r="A10" s="5" t="s">
        <v>25</v>
      </c>
      <c r="B10" s="6">
        <v>43260</v>
      </c>
      <c r="C10" s="6">
        <v>43265</v>
      </c>
      <c r="D10" s="5" t="s">
        <v>16</v>
      </c>
      <c r="E10" s="5" t="s">
        <v>69</v>
      </c>
      <c r="F10" s="5" t="s">
        <v>14</v>
      </c>
      <c r="G10" s="5" t="s">
        <v>41</v>
      </c>
      <c r="H10" s="5" t="s">
        <v>17</v>
      </c>
      <c r="I10" s="7">
        <v>907.2</v>
      </c>
      <c r="J10" s="8">
        <v>6</v>
      </c>
      <c r="K10" s="7">
        <v>90.7</v>
      </c>
      <c r="L10" s="5" t="str">
        <f t="shared" si="0"/>
        <v>Profitable</v>
      </c>
    </row>
    <row r="11" spans="1:16" ht="21.95" customHeight="1" x14ac:dyDescent="0.25">
      <c r="A11" s="5" t="s">
        <v>21</v>
      </c>
      <c r="B11" s="6">
        <v>43749</v>
      </c>
      <c r="C11" s="6">
        <v>43756</v>
      </c>
      <c r="D11" s="5" t="s">
        <v>16</v>
      </c>
      <c r="E11" s="5" t="s">
        <v>30</v>
      </c>
      <c r="F11" s="5" t="s">
        <v>12</v>
      </c>
      <c r="G11" s="5" t="s">
        <v>38</v>
      </c>
      <c r="H11" s="5" t="s">
        <v>13</v>
      </c>
      <c r="I11" s="7">
        <v>957.6</v>
      </c>
      <c r="J11" s="8">
        <v>5</v>
      </c>
      <c r="K11" s="7">
        <v>-383</v>
      </c>
      <c r="L11" s="5" t="str">
        <f t="shared" si="0"/>
        <v>Loss</v>
      </c>
    </row>
    <row r="12" spans="1:16" ht="21.95" customHeight="1" x14ac:dyDescent="0.25">
      <c r="A12" s="5" t="s">
        <v>55</v>
      </c>
      <c r="B12" s="5" t="s">
        <v>46</v>
      </c>
      <c r="C12" s="5" t="s">
        <v>47</v>
      </c>
      <c r="D12" s="5" t="s">
        <v>16</v>
      </c>
      <c r="E12" s="5" t="s">
        <v>62</v>
      </c>
      <c r="F12" s="5" t="s">
        <v>14</v>
      </c>
      <c r="G12" s="5" t="s">
        <v>35</v>
      </c>
      <c r="H12" s="5" t="s">
        <v>15</v>
      </c>
      <c r="I12" s="5">
        <v>114.9</v>
      </c>
      <c r="J12" s="5">
        <v>5</v>
      </c>
      <c r="K12" s="5">
        <v>34.5</v>
      </c>
      <c r="L12" s="5" t="str">
        <f t="shared" si="0"/>
        <v>Profitable</v>
      </c>
    </row>
    <row r="13" spans="1:16" ht="21.95" customHeight="1" x14ac:dyDescent="0.25">
      <c r="A13" s="5" t="s">
        <v>56</v>
      </c>
      <c r="B13" s="5" t="s">
        <v>46</v>
      </c>
      <c r="C13" s="5" t="s">
        <v>47</v>
      </c>
      <c r="D13" s="5" t="s">
        <v>16</v>
      </c>
      <c r="E13" s="5" t="s">
        <v>29</v>
      </c>
      <c r="F13" s="5" t="s">
        <v>14</v>
      </c>
      <c r="G13" s="5" t="s">
        <v>38</v>
      </c>
      <c r="H13" s="5" t="s">
        <v>13</v>
      </c>
      <c r="I13" s="5">
        <v>1706.2</v>
      </c>
      <c r="J13" s="5">
        <v>9</v>
      </c>
      <c r="K13" s="5">
        <v>85.3</v>
      </c>
      <c r="L13" s="5" t="str">
        <f t="shared" si="0"/>
        <v>Profitable</v>
      </c>
    </row>
    <row r="14" spans="1:16" ht="21.95" customHeight="1" x14ac:dyDescent="0.25">
      <c r="A14" s="5" t="s">
        <v>57</v>
      </c>
      <c r="B14" s="5" t="s">
        <v>46</v>
      </c>
      <c r="C14" s="5" t="s">
        <v>47</v>
      </c>
      <c r="D14" s="5" t="s">
        <v>16</v>
      </c>
      <c r="E14" s="5" t="s">
        <v>32</v>
      </c>
      <c r="F14" s="5" t="s">
        <v>14</v>
      </c>
      <c r="G14" s="5" t="s">
        <v>41</v>
      </c>
      <c r="H14" s="5" t="s">
        <v>17</v>
      </c>
      <c r="I14" s="5">
        <v>911.4</v>
      </c>
      <c r="J14" s="5">
        <v>4</v>
      </c>
      <c r="K14" s="5">
        <v>68.400000000000006</v>
      </c>
      <c r="L14" s="5" t="str">
        <f t="shared" si="0"/>
        <v>Profitable</v>
      </c>
    </row>
    <row r="15" spans="1:16" ht="21.95" customHeight="1" x14ac:dyDescent="0.25">
      <c r="A15" s="5" t="s">
        <v>58</v>
      </c>
      <c r="B15" s="5" t="s">
        <v>48</v>
      </c>
      <c r="C15" s="5" t="s">
        <v>49</v>
      </c>
      <c r="D15" s="5" t="s">
        <v>16</v>
      </c>
      <c r="E15" s="5" t="s">
        <v>33</v>
      </c>
      <c r="F15" s="5" t="s">
        <v>14</v>
      </c>
      <c r="G15" s="5" t="s">
        <v>64</v>
      </c>
      <c r="H15" s="5" t="s">
        <v>15</v>
      </c>
      <c r="I15" s="5">
        <v>15.6</v>
      </c>
      <c r="J15" s="5">
        <v>3</v>
      </c>
      <c r="K15" s="5">
        <v>0</v>
      </c>
      <c r="L15" s="5" t="str">
        <f t="shared" si="0"/>
        <v>Break Even</v>
      </c>
    </row>
    <row r="16" spans="1:16" ht="21.95" customHeight="1" x14ac:dyDescent="0.25">
      <c r="A16" s="5" t="s">
        <v>59</v>
      </c>
      <c r="B16" s="5" t="s">
        <v>50</v>
      </c>
      <c r="C16" s="5" t="s">
        <v>51</v>
      </c>
      <c r="D16" s="5" t="s">
        <v>16</v>
      </c>
      <c r="E16" s="5" t="s">
        <v>63</v>
      </c>
      <c r="F16" s="5" t="s">
        <v>14</v>
      </c>
      <c r="G16" s="5" t="s">
        <v>65</v>
      </c>
      <c r="H16" s="5" t="s">
        <v>15</v>
      </c>
      <c r="I16" s="5">
        <v>408</v>
      </c>
      <c r="J16" s="5">
        <v>3</v>
      </c>
      <c r="K16" s="5">
        <v>132.6</v>
      </c>
      <c r="L16" s="5" t="str">
        <f t="shared" si="0"/>
        <v>Profitable</v>
      </c>
    </row>
    <row r="17" spans="1:12" ht="21.95" customHeight="1" x14ac:dyDescent="0.25">
      <c r="A17" s="5" t="s">
        <v>60</v>
      </c>
      <c r="B17" s="5" t="s">
        <v>52</v>
      </c>
      <c r="C17" s="5" t="s">
        <v>53</v>
      </c>
      <c r="D17" s="5" t="s">
        <v>16</v>
      </c>
      <c r="E17" s="5" t="s">
        <v>68</v>
      </c>
      <c r="F17" s="5" t="s">
        <v>54</v>
      </c>
      <c r="G17" s="5" t="s">
        <v>66</v>
      </c>
      <c r="H17" s="5" t="s">
        <v>15</v>
      </c>
      <c r="I17" s="5">
        <v>68.8</v>
      </c>
      <c r="J17" s="5">
        <v>5</v>
      </c>
      <c r="K17" s="5">
        <v>-123.9</v>
      </c>
      <c r="L17" s="5" t="str">
        <f t="shared" si="0"/>
        <v>Loss</v>
      </c>
    </row>
    <row r="18" spans="1:12" ht="21.95" customHeight="1" x14ac:dyDescent="0.25">
      <c r="A18" s="5" t="s">
        <v>61</v>
      </c>
      <c r="B18" s="5" t="s">
        <v>52</v>
      </c>
      <c r="C18" s="5" t="s">
        <v>53</v>
      </c>
      <c r="D18" s="5" t="s">
        <v>16</v>
      </c>
      <c r="E18" s="5" t="s">
        <v>62</v>
      </c>
      <c r="F18" s="5" t="s">
        <v>54</v>
      </c>
      <c r="G18" s="5" t="s">
        <v>67</v>
      </c>
      <c r="H18" s="5" t="s">
        <v>15</v>
      </c>
      <c r="I18" s="5">
        <v>2.5</v>
      </c>
      <c r="J18" s="5">
        <v>3</v>
      </c>
      <c r="K18" s="5">
        <v>-3.8</v>
      </c>
      <c r="L18" s="5" t="str">
        <f t="shared" si="0"/>
        <v>Loss</v>
      </c>
    </row>
  </sheetData>
  <phoneticPr fontId="1" type="noConversion"/>
  <conditionalFormatting sqref="M2:M7">
    <cfRule type="duplicateValues" dxfId="0" priority="1"/>
  </conditionalFormatting>
  <dataValidations count="1">
    <dataValidation type="list" showInputMessage="1" showErrorMessage="1" error="Enter one among : Profitable, Loss, Break Even" sqref="L1:L1048576" xr:uid="{0FF33E56-2BE0-4837-B35D-7C9CA6D99CE0}">
      <formula1>"Profitable,Loss,Break Even"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.</dc:creator>
  <cp:lastModifiedBy>Manju .</cp:lastModifiedBy>
  <dcterms:created xsi:type="dcterms:W3CDTF">2025-09-16T13:47:42Z</dcterms:created>
  <dcterms:modified xsi:type="dcterms:W3CDTF">2025-09-26T16:55:14Z</dcterms:modified>
</cp:coreProperties>
</file>